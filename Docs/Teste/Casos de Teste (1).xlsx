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wnloads\"/>
    </mc:Choice>
  </mc:AlternateContent>
  <xr:revisionPtr revIDLastSave="0" documentId="13_ncr:1_{AAA80D7F-7F08-4040-87A6-A25C786F1212}" xr6:coauthVersionLast="47" xr6:coauthVersionMax="47" xr10:uidLastSave="{00000000-0000-0000-0000-000000000000}"/>
  <bookViews>
    <workbookView xWindow="-110" yWindow="-110" windowWidth="19420" windowHeight="10300" firstSheet="1" activeTab="2" xr2:uid="{B39D3B3E-C0E7-4FBE-A703-F38F16FF52B7}"/>
  </bookViews>
  <sheets>
    <sheet name="RESULTADOS" sheetId="3" r:id="rId1"/>
    <sheet name="UNITARIOS" sheetId="1" r:id="rId2"/>
    <sheet name="FUNCIONAI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C4" i="3"/>
  <c r="C3" i="3"/>
  <c r="C2" i="3"/>
  <c r="B2" i="3"/>
  <c r="B5" i="3"/>
  <c r="B4" i="3"/>
  <c r="B3" i="3"/>
</calcChain>
</file>

<file path=xl/sharedStrings.xml><?xml version="1.0" encoding="utf-8"?>
<sst xmlns="http://schemas.openxmlformats.org/spreadsheetml/2006/main" count="294" uniqueCount="200">
  <si>
    <t>ID</t>
  </si>
  <si>
    <t>FUNCAO</t>
  </si>
  <si>
    <t>PRÉ-CONDIÇÕES</t>
  </si>
  <si>
    <t>ARQUIVO</t>
  </si>
  <si>
    <t>DESCRIÇÃO DO CASO DE TESTE</t>
  </si>
  <si>
    <t>STATUS</t>
  </si>
  <si>
    <t>CTU-001</t>
  </si>
  <si>
    <t>NENHUMA</t>
  </si>
  <si>
    <t>EXEMPLO DE ENTRADA</t>
  </si>
  <si>
    <t>COMO TESTAR A SAÍDA</t>
  </si>
  <si>
    <t>O QUE DEVE SER ANALISADO</t>
  </si>
  <si>
    <t>DATA</t>
  </si>
  <si>
    <t>IMPL.</t>
  </si>
  <si>
    <t>TESTER</t>
  </si>
  <si>
    <t>DESCRIÇÃO DO ULTIMO RESULTADO OBTIDO</t>
  </si>
  <si>
    <t>CTF-001</t>
  </si>
  <si>
    <t>FUNCIONALIDADE</t>
  </si>
  <si>
    <t>Login</t>
  </si>
  <si>
    <t>COMO EXECUTAR O TESTE</t>
  </si>
  <si>
    <t>PASSOU</t>
  </si>
  <si>
    <t>TESTES IMPLEMENTADOS</t>
  </si>
  <si>
    <t>DESCRIÇÃO</t>
  </si>
  <si>
    <t>UNITÁRIOS</t>
  </si>
  <si>
    <t>FUNCIONAIS</t>
  </si>
  <si>
    <t>TESTES QUE PASSARAM</t>
  </si>
  <si>
    <t>TESTES QUE NÃO PASSARAM</t>
  </si>
  <si>
    <t>TESTES NÃO IMPLEMENTADOS</t>
  </si>
  <si>
    <t>SIM</t>
  </si>
  <si>
    <t>NÃO</t>
  </si>
  <si>
    <t>Cadastro</t>
  </si>
  <si>
    <t>Ao inserir um usuário e senha corretos o sistema deve levar a tela de Login</t>
  </si>
  <si>
    <t xml:space="preserve">10/11/2026
</t>
  </si>
  <si>
    <t>CTF-002</t>
  </si>
  <si>
    <t>Registo concluído e redirecionamento efetuado com sucesso</t>
  </si>
  <si>
    <t>NÃO PASSOU</t>
  </si>
  <si>
    <t xml:space="preserve">  PASSOU
</t>
  </si>
  <si>
    <t>CTF-003</t>
  </si>
  <si>
    <t>CTF-004</t>
  </si>
  <si>
    <t>CTF-005</t>
  </si>
  <si>
    <t>CTF-006</t>
  </si>
  <si>
    <t>CTF-007</t>
  </si>
  <si>
    <t>CTF-008</t>
  </si>
  <si>
    <t>CTF-009</t>
  </si>
  <si>
    <t>CTF-010</t>
  </si>
  <si>
    <t>CTF-011</t>
  </si>
  <si>
    <t>CTF-012</t>
  </si>
  <si>
    <t>Publicação de Bico</t>
  </si>
  <si>
    <t>Feed de Vagas</t>
  </si>
  <si>
    <t>Candidatura</t>
  </si>
  <si>
    <t>Finalização e Pagamento</t>
  </si>
  <si>
    <t>Cancelamento</t>
  </si>
  <si>
    <t>Carteira Virtual</t>
  </si>
  <si>
    <t>Edição de Perfil</t>
  </si>
  <si>
    <t xml:space="preserve">1. Aceder ao ecrã de registo
2. Selecionar "Contratante"
3. Preencher dados e submeter
</t>
  </si>
  <si>
    <t>1. Conta criada com sucesso
2. Redirecionamento para o ecrã de Login</t>
  </si>
  <si>
    <t>Impedir registo de Trabalhador menor de 18 anos</t>
  </si>
  <si>
    <t>1. Tentar registar como Trabalhador
2. Inserir data de nascimento com idade inferior a 18 anos</t>
  </si>
  <si>
    <t>1. O sistema deve bloquear o registo
2. Exibir mensagem de aviso de idade mínima</t>
  </si>
  <si>
    <t>O formulário bloqueou o envio e exibiu o alerta de idade</t>
  </si>
  <si>
    <t>Autenticação com credencias validas</t>
  </si>
  <si>
    <t>Utilizador previamente registrado</t>
  </si>
  <si>
    <t>1. Aceder ao ecrã de Login
2. Inserir dados de acesso
3. Clicar em "Entrar"</t>
  </si>
  <si>
    <t>1. Acesso concedido
2. Redirecionamento para o Feed correspondente</t>
  </si>
  <si>
    <t>O sistema apresentou erro 500 durante a verificação de credenciais</t>
  </si>
  <si>
    <t>Nome: Alfonso Cardoso
Email: araujo11babosa@email.com
Senha: 123456</t>
  </si>
  <si>
    <t>Nome: Alfonso Cardoso
Email: araujo11babosa@email.com
Senha: 123457</t>
  </si>
  <si>
    <t>Nome: Alfonso Cardoso
Email: araujo11babosa@email.com
Senha: 123458</t>
  </si>
  <si>
    <t>Publicar bico com saldo suficiente na carteira</t>
  </si>
  <si>
    <t>Estar logado como Contratante com saldo</t>
  </si>
  <si>
    <t>Título: Pintura de Muro
Valor: R$ 150,00</t>
  </si>
  <si>
    <t>1. Ir a "Publicar Bico"
2. Preencher dados do serviço
3. Confirmar publicação</t>
  </si>
  <si>
    <t>1. O bico deve aparecer no feed
2. O valor de R$ 150,00 deve ser retido da carteira</t>
  </si>
  <si>
    <t>Bico publicado e valor retido na carteira do utilizador</t>
  </si>
  <si>
    <t>Bloquear publicação sem saldo suficiente</t>
  </si>
  <si>
    <t>Contratante com saldo insuficiente</t>
  </si>
  <si>
    <t>Valor do Bico: R$ 200,00
Saldo Atual: R$ 50,00</t>
  </si>
  <si>
    <t>1. Tentar publicar bico com valor superior ao saldo disponível</t>
  </si>
  <si>
    <t>1. Impedir a criação do bico
2. Pedir recarga de saldo na carteira</t>
  </si>
  <si>
    <t>O bico foi criado mesmo sem ter saldo disponível</t>
  </si>
  <si>
    <t>Visualização e filtragem do feed de bicos</t>
  </si>
  <si>
    <t>Existirem bicos abertos cadastrados</t>
  </si>
  <si>
    <t>Filtro: Categoria "Pintura"</t>
  </si>
  <si>
    <t>1. Aceder ao Feed como Trabalhador
2. Aplicar o filtro por categoria</t>
  </si>
  <si>
    <t>1. Apresentar apenas os bicos correspondentes à categoria selecionada</t>
  </si>
  <si>
    <t>Interface e rota integradas, aguardando validação</t>
  </si>
  <si>
    <t>IMPLEMENTADO</t>
  </si>
  <si>
    <t>Candidatar-se a uma vaga no feed</t>
  </si>
  <si>
    <t>Estar logado como Trabalhador</t>
  </si>
  <si>
    <t>Bico ID: 101</t>
  </si>
  <si>
    <t>1. Selecionar bico disponível no feed
2. Clicar no botão "Candidatar-se</t>
  </si>
  <si>
    <t>1. Registar candidatura
2. Notificar o Contratante da nova candidatura</t>
  </si>
  <si>
    <t>Candidatura registada na base de dados com sucesso</t>
  </si>
  <si>
    <t>Seleção de Candidato</t>
  </si>
  <si>
    <t>Contratante selecionar candidato para o bico</t>
  </si>
  <si>
    <t>Bico com candidaturas ativas</t>
  </si>
  <si>
    <t>Candidato ID: 45</t>
  </si>
  <si>
    <t>1. Ver lista de candidatos do bico
2. Selecionar um Trabalhador</t>
  </si>
  <si>
    <t>1. Estado do bico muda para "Em Execução"
2. Bico deixa de aparecer no feed dos outros</t>
  </si>
  <si>
    <t>Candidato selecionado e bico removido da lista geral</t>
  </si>
  <si>
    <t>Finalizar serviço e libertar pagamento</t>
  </si>
  <si>
    <t>Serviço com estado "Em Execução"</t>
  </si>
  <si>
    <t>Status: Concluído</t>
  </si>
  <si>
    <t>1. Contratante clica em "Confirmar Conclusão"</t>
  </si>
  <si>
    <t>1. Transferir o saldo retido para a carteira do Trabalhador</t>
  </si>
  <si>
    <t>Código do fluxo criado na totalidade, pronto para testes</t>
  </si>
  <si>
    <t>Cancelar bico e reembolsar o Contratante</t>
  </si>
  <si>
    <t>Bico publicado sem candidato contratado</t>
  </si>
  <si>
    <t>Bico ID: 102</t>
  </si>
  <si>
    <t>1. Aceder ao bico publicado
2. Clicar em "Cancelar Bico"</t>
  </si>
  <si>
    <t>1. Alterar estado para "Cancelado"
2. Devolver o valor retido à carteira</t>
  </si>
  <si>
    <t>Valor reembolsado e bico cancelado com sucesso</t>
  </si>
  <si>
    <t>Adicionar saldo simulado à carteira</t>
  </si>
  <si>
    <t>Estar autenticado</t>
  </si>
  <si>
    <t>Valor da Recarga: R$ 100,00</t>
  </si>
  <si>
    <t>1. Ir à Carteira Virtual
2. Inserir valor e clicar em "Adicionar Saldo"</t>
  </si>
  <si>
    <t>1. Atualizar o saldo disponível do utilizador</t>
  </si>
  <si>
    <t>Funcionalidade ainda não disponível na interface</t>
  </si>
  <si>
    <t>NÃO IMPLEMENTADO</t>
  </si>
  <si>
    <t>Atualizar dados e foto do perfil</t>
  </si>
  <si>
    <t>Foto: perfil.jpg
Telefone: 999999999</t>
  </si>
  <si>
    <t>1. Aceder à página de Perfil
2. Editar os dados e guardar</t>
  </si>
  <si>
    <t>1. Os novos dados devem ser gravados e exibidos no perfil</t>
  </si>
  <si>
    <t>Funcionalidade pendente de desenvolvimento no front-end</t>
  </si>
  <si>
    <t>CTU-002</t>
  </si>
  <si>
    <t>CTU-003</t>
  </si>
  <si>
    <t>CTU-004</t>
  </si>
  <si>
    <t>CTU-005</t>
  </si>
  <si>
    <t>CTU-006</t>
  </si>
  <si>
    <t>CTU-007</t>
  </si>
  <si>
    <t>CTU-008</t>
  </si>
  <si>
    <t>CTU-009</t>
  </si>
  <si>
    <t>CTU-010</t>
  </si>
  <si>
    <t>validateAge()</t>
  </si>
  <si>
    <t>userMiddleware.js</t>
  </si>
  <si>
    <t>Validar a regra de idade mínima (18 anos)</t>
  </si>
  <si>
    <t>2010-05-15'</t>
  </si>
  <si>
    <t>Executar o teste via terminal (npm test)</t>
  </si>
  <si>
    <t>1. Deve retornar false para idade inferior a 18 anos</t>
  </si>
  <si>
    <t>Retornou false conforme esperado</t>
  </si>
  <si>
    <t>Alfonso Cadoso Araujo Barbosa</t>
  </si>
  <si>
    <t>hashPassword()</t>
  </si>
  <si>
    <t>authService.js</t>
  </si>
  <si>
    <t>Criptografar a senha do utilizador</t>
  </si>
  <si>
    <t>Conexão com a BD ativa</t>
  </si>
  <si>
    <t>Base de dados populada com mocks</t>
  </si>
  <si>
    <t>senha123'</t>
  </si>
  <si>
    <t>Executar o teste unitário no authService.test.js</t>
  </si>
  <si>
    <t>1. Deve gerar uma hash bcrypt válida diferente do texto simples</t>
  </si>
  <si>
    <t>A senha foi encriptada corretamente em formato hash</t>
  </si>
  <si>
    <t>checkBalance()</t>
  </si>
  <si>
    <t>walletService.js</t>
  </si>
  <si>
    <t>Verificar se o saldo do utilizador cobrirá a transação</t>
  </si>
  <si>
    <t>saldo: 100
valor: 150</t>
  </si>
  <si>
    <t>Executar o ficheiro de teste wallet.test.js</t>
  </si>
  <si>
    <t>1. Deve retornar false quando o saldo for menor que o valor exigido</t>
  </si>
  <si>
    <t>A função retornou true permitindo saldo negativo</t>
  </si>
  <si>
    <t>holdBalance()</t>
  </si>
  <si>
    <t>Reter valor da carteira na criação do bico</t>
  </si>
  <si>
    <t>saldo: 200
valor: 50</t>
  </si>
  <si>
    <t>Executar o teste unitário via terminal (npm test)</t>
  </si>
  <si>
    <t>1. Saldo disponível deve passar a 150
2. Saldo bloqueado deve passar a 50</t>
  </si>
  <si>
    <t>Transação de retenção efetuada com sucesso</t>
  </si>
  <si>
    <t>transferBalance()</t>
  </si>
  <si>
    <t>Transferir o saldo retido para o prestador do serviço</t>
  </si>
  <si>
    <t>valor: 100
trabalhadorId: 10</t>
  </si>
  <si>
    <t>Executar a suite de testes no serviço de carteira</t>
  </si>
  <si>
    <t>1. Adicionar o valor ao saldo do Trabalhador
2. Limpar o saldo retido</t>
  </si>
  <si>
    <t>Teste escrito na totalidade e pronto para execução</t>
  </si>
  <si>
    <t>refundBalance()</t>
  </si>
  <si>
    <t>Devolver o valor retido em caso de cancelamento</t>
  </si>
  <si>
    <t>valor: 100
contratanteId: 5</t>
  </si>
  <si>
    <t>Executar o teste unitário via terminal</t>
  </si>
  <si>
    <t>1. Repor o valor retido no saldo disponível do Contratante</t>
  </si>
  <si>
    <t>Teste executado com sucesso e saldo estornado</t>
  </si>
  <si>
    <t>createGig()</t>
  </si>
  <si>
    <t>gigController.js</t>
  </si>
  <si>
    <t>Inserir novo registo de bico na base de dados</t>
  </si>
  <si>
    <t>{titulo: 'Limpeza', valor: 80}</t>
  </si>
  <si>
    <t>Verificar se o registo existe na tabela bicos via SQL</t>
  </si>
  <si>
    <t>1. A query deve ser executada sem falhas e retornar o ID gerado</t>
  </si>
  <si>
    <t>O objeto inserido falhou ao tentar mapear a chave estrangeira</t>
  </si>
  <si>
    <t>getAvailableGigs()</t>
  </si>
  <si>
    <t>gigModel.js</t>
  </si>
  <si>
    <t>Filtrar e listar apenas os bicos ativos/abertos</t>
  </si>
  <si>
    <t>Executar o método e validar o array de retorno</t>
  </si>
  <si>
    <t>1. Deve omitir bicos com o estado "Concluído" ou "Cancelado"</t>
  </si>
  <si>
    <t>Teste implementado na pipeline, a aguardar execução</t>
  </si>
  <si>
    <t>validaCPF()</t>
  </si>
  <si>
    <t>userUtils.js</t>
  </si>
  <si>
    <t>Validar a estrutura do algoritmo do CPF</t>
  </si>
  <si>
    <t>123.456.789-00'</t>
  </si>
  <si>
    <t>Executar o ficheiro de teste unitário do utilizador</t>
  </si>
  <si>
    <t>1. Retornar false para a sequência inválida de dígitos</t>
  </si>
  <si>
    <t>Teste unitário ainda não desenvolvido</t>
  </si>
  <si>
    <t>generateJWT()</t>
  </si>
  <si>
    <t>Gerar o Token de Autenticação JWT para a sessão</t>
  </si>
  <si>
    <t>{id: 1, email: 'user@test.com'}</t>
  </si>
  <si>
    <t>1. Deve retornar uma string assinada com a chave secreta</t>
  </si>
  <si>
    <t>Ficheiro de teste da biblioteca JWT pendente de criação</t>
  </si>
  <si>
    <t xml:space="preserve">Alfonso Cardoso Araujo Barbosa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</si>
</sst>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/>
    </xf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2" xfId="0" applyFont="1" applyFill="1" applyBorder="1"/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F26EA1-E391-45FF-B518-653AF88DA29F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acd9fb40-3c08-4c02-a4a9-f8e987e018c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782C-A2B1-4136-86F8-0F29B8267B23}">
  <dimension ref="A1:C5"/>
  <sheetViews>
    <sheetView workbookViewId="0">
      <selection activeCell="C3" sqref="C3"/>
    </sheetView>
  </sheetViews>
  <sheetFormatPr defaultRowHeight="14.5" x14ac:dyDescent="0.35"/>
  <cols>
    <col min="1" max="1" width="28.81640625" customWidth="1"/>
    <col min="2" max="2" width="16" customWidth="1"/>
    <col min="3" max="3" width="18.54296875" customWidth="1"/>
  </cols>
  <sheetData>
    <row r="1" spans="1:3" x14ac:dyDescent="0.35">
      <c r="A1" s="1" t="s">
        <v>21</v>
      </c>
      <c r="B1" s="4" t="s">
        <v>22</v>
      </c>
      <c r="C1" s="4" t="s">
        <v>23</v>
      </c>
    </row>
    <row r="2" spans="1:3" x14ac:dyDescent="0.35">
      <c r="A2" s="3" t="s">
        <v>26</v>
      </c>
      <c r="B2" s="5">
        <f>COUNTIFS(UNITARIOS!$E:$E,"=NÃO")</f>
        <v>2</v>
      </c>
      <c r="C2" s="5">
        <f>COUNTIFS(FUNCIONAIS!$D:$D,"=NÃO")</f>
        <v>1</v>
      </c>
    </row>
    <row r="3" spans="1:3" x14ac:dyDescent="0.35">
      <c r="A3" s="3" t="s">
        <v>20</v>
      </c>
      <c r="B3" s="5">
        <f>COUNTIFS(UNITARIOS!$E:$E,"=SIM")</f>
        <v>8</v>
      </c>
      <c r="C3" s="5">
        <f>COUNTIFS(FUNCIONAIS!$D:$D,"=SIM")</f>
        <v>11</v>
      </c>
    </row>
    <row r="4" spans="1:3" x14ac:dyDescent="0.35">
      <c r="A4" s="3" t="s">
        <v>24</v>
      </c>
      <c r="B4" s="5">
        <f>COUNTIFS(UNITARIOS!M:M,"=PASSOU")</f>
        <v>4</v>
      </c>
      <c r="C4" s="5">
        <f>COUNTIFS(FUNCIONAIS!$L:$L,"=PASSOU")</f>
        <v>4</v>
      </c>
    </row>
    <row r="5" spans="1:3" x14ac:dyDescent="0.35">
      <c r="A5" s="3" t="s">
        <v>25</v>
      </c>
      <c r="B5" s="5">
        <f>COUNTIFS(UNITARIOS!M:M,"=NAO PASSOU")</f>
        <v>0</v>
      </c>
      <c r="C5" s="5">
        <f>COUNTIFS(FUNCIONAIS!$L:$L,"=NÃO")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CAC7-316E-46CB-A569-E04FC4195B48}">
  <dimension ref="A1:M11"/>
  <sheetViews>
    <sheetView workbookViewId="0">
      <selection activeCell="J11" sqref="J11"/>
    </sheetView>
  </sheetViews>
  <sheetFormatPr defaultRowHeight="14.5" x14ac:dyDescent="0.35"/>
  <cols>
    <col min="1" max="1" width="8.1796875" bestFit="1" customWidth="1"/>
    <col min="2" max="2" width="15.453125" bestFit="1" customWidth="1"/>
    <col min="3" max="3" width="17" customWidth="1"/>
    <col min="4" max="4" width="39.81640625" bestFit="1" customWidth="1"/>
    <col min="5" max="5" width="5.81640625" bestFit="1" customWidth="1"/>
    <col min="6" max="6" width="26.81640625" customWidth="1"/>
    <col min="7" max="7" width="28.54296875" customWidth="1"/>
    <col min="8" max="8" width="36.1796875" customWidth="1"/>
    <col min="9" max="9" width="60.7265625" bestFit="1" customWidth="1"/>
    <col min="10" max="10" width="43.1796875" customWidth="1"/>
    <col min="11" max="11" width="10.453125" bestFit="1" customWidth="1"/>
    <col min="12" max="12" width="36.453125" customWidth="1"/>
    <col min="13" max="13" width="20.81640625" customWidth="1"/>
  </cols>
  <sheetData>
    <row r="1" spans="1:13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12</v>
      </c>
      <c r="F1" s="1" t="s">
        <v>2</v>
      </c>
      <c r="G1" s="1" t="s">
        <v>8</v>
      </c>
      <c r="H1" s="1" t="s">
        <v>9</v>
      </c>
      <c r="I1" s="1" t="s">
        <v>10</v>
      </c>
      <c r="J1" s="1" t="s">
        <v>14</v>
      </c>
      <c r="K1" s="1" t="s">
        <v>11</v>
      </c>
      <c r="L1" s="1" t="s">
        <v>13</v>
      </c>
      <c r="M1" s="1" t="s">
        <v>5</v>
      </c>
    </row>
    <row r="2" spans="1:13" s="2" customFormat="1" ht="41.5" customHeight="1" x14ac:dyDescent="0.35">
      <c r="A2" s="11" t="s">
        <v>6</v>
      </c>
      <c r="B2" s="11" t="s">
        <v>132</v>
      </c>
      <c r="C2" s="11" t="s">
        <v>133</v>
      </c>
      <c r="D2" s="11" t="s">
        <v>134</v>
      </c>
      <c r="E2" s="11" t="s">
        <v>27</v>
      </c>
      <c r="F2" s="11" t="s">
        <v>7</v>
      </c>
      <c r="G2" s="12" t="s">
        <v>135</v>
      </c>
      <c r="H2" s="11" t="s">
        <v>136</v>
      </c>
      <c r="I2" s="11" t="s">
        <v>137</v>
      </c>
      <c r="J2" s="11" t="s">
        <v>138</v>
      </c>
      <c r="K2" s="13">
        <v>45971</v>
      </c>
      <c r="L2" s="11" t="s">
        <v>139</v>
      </c>
      <c r="M2" s="11" t="s">
        <v>19</v>
      </c>
    </row>
    <row r="3" spans="1:13" ht="41" customHeight="1" x14ac:dyDescent="0.35">
      <c r="A3" s="11" t="s">
        <v>123</v>
      </c>
      <c r="B3" s="11" t="s">
        <v>140</v>
      </c>
      <c r="C3" s="11" t="s">
        <v>141</v>
      </c>
      <c r="D3" s="11" t="s">
        <v>142</v>
      </c>
      <c r="E3" s="11" t="s">
        <v>27</v>
      </c>
      <c r="F3" s="11" t="s">
        <v>7</v>
      </c>
      <c r="G3" s="12" t="s">
        <v>145</v>
      </c>
      <c r="H3" s="11" t="s">
        <v>146</v>
      </c>
      <c r="I3" s="11" t="s">
        <v>147</v>
      </c>
      <c r="J3" s="11" t="s">
        <v>148</v>
      </c>
      <c r="K3" s="13">
        <v>45972</v>
      </c>
      <c r="L3" s="11" t="s">
        <v>139</v>
      </c>
      <c r="M3" s="11" t="s">
        <v>19</v>
      </c>
    </row>
    <row r="4" spans="1:13" ht="43" customHeight="1" x14ac:dyDescent="0.35">
      <c r="A4" s="11" t="s">
        <v>124</v>
      </c>
      <c r="B4" s="11" t="s">
        <v>149</v>
      </c>
      <c r="C4" s="11" t="s">
        <v>150</v>
      </c>
      <c r="D4" s="11" t="s">
        <v>151</v>
      </c>
      <c r="E4" s="11" t="s">
        <v>27</v>
      </c>
      <c r="F4" s="11" t="s">
        <v>7</v>
      </c>
      <c r="G4" s="11" t="s">
        <v>152</v>
      </c>
      <c r="H4" s="11" t="s">
        <v>153</v>
      </c>
      <c r="I4" s="11" t="s">
        <v>154</v>
      </c>
      <c r="J4" s="11" t="s">
        <v>155</v>
      </c>
      <c r="K4" s="13">
        <v>45973</v>
      </c>
      <c r="L4" s="11" t="s">
        <v>139</v>
      </c>
      <c r="M4" s="11" t="s">
        <v>34</v>
      </c>
    </row>
    <row r="5" spans="1:13" ht="43.5" customHeight="1" x14ac:dyDescent="0.35">
      <c r="A5" s="11" t="s">
        <v>125</v>
      </c>
      <c r="B5" s="11" t="s">
        <v>156</v>
      </c>
      <c r="C5" s="11" t="s">
        <v>150</v>
      </c>
      <c r="D5" s="11" t="s">
        <v>157</v>
      </c>
      <c r="E5" s="11" t="s">
        <v>27</v>
      </c>
      <c r="F5" s="11" t="s">
        <v>7</v>
      </c>
      <c r="G5" s="11" t="s">
        <v>158</v>
      </c>
      <c r="H5" s="11" t="s">
        <v>159</v>
      </c>
      <c r="I5" s="11" t="s">
        <v>160</v>
      </c>
      <c r="J5" s="11" t="s">
        <v>161</v>
      </c>
      <c r="K5" s="13">
        <v>45974</v>
      </c>
      <c r="L5" s="11" t="s">
        <v>139</v>
      </c>
      <c r="M5" s="11" t="s">
        <v>19</v>
      </c>
    </row>
    <row r="6" spans="1:13" ht="43.5" customHeight="1" x14ac:dyDescent="0.35">
      <c r="A6" s="11" t="s">
        <v>126</v>
      </c>
      <c r="B6" s="11" t="s">
        <v>162</v>
      </c>
      <c r="C6" s="11" t="s">
        <v>150</v>
      </c>
      <c r="D6" s="11" t="s">
        <v>163</v>
      </c>
      <c r="E6" s="11" t="s">
        <v>27</v>
      </c>
      <c r="F6" s="11" t="s">
        <v>7</v>
      </c>
      <c r="G6" s="11" t="s">
        <v>164</v>
      </c>
      <c r="H6" s="11" t="s">
        <v>165</v>
      </c>
      <c r="I6" s="11" t="s">
        <v>166</v>
      </c>
      <c r="J6" s="11" t="s">
        <v>167</v>
      </c>
      <c r="K6" s="13">
        <v>45975</v>
      </c>
      <c r="L6" s="11" t="s">
        <v>139</v>
      </c>
      <c r="M6" s="11" t="s">
        <v>85</v>
      </c>
    </row>
    <row r="7" spans="1:13" ht="44" customHeight="1" x14ac:dyDescent="0.35">
      <c r="A7" s="11" t="s">
        <v>127</v>
      </c>
      <c r="B7" s="11" t="s">
        <v>168</v>
      </c>
      <c r="C7" s="11" t="s">
        <v>150</v>
      </c>
      <c r="D7" s="11" t="s">
        <v>169</v>
      </c>
      <c r="E7" s="11" t="s">
        <v>27</v>
      </c>
      <c r="F7" s="11" t="s">
        <v>7</v>
      </c>
      <c r="G7" s="11" t="s">
        <v>170</v>
      </c>
      <c r="H7" s="11" t="s">
        <v>171</v>
      </c>
      <c r="I7" s="11" t="s">
        <v>172</v>
      </c>
      <c r="J7" s="11" t="s">
        <v>173</v>
      </c>
      <c r="K7" s="13">
        <v>45976</v>
      </c>
      <c r="L7" s="11" t="s">
        <v>139</v>
      </c>
      <c r="M7" s="11" t="s">
        <v>19</v>
      </c>
    </row>
    <row r="8" spans="1:13" ht="42.5" customHeight="1" x14ac:dyDescent="0.35">
      <c r="A8" s="11" t="s">
        <v>128</v>
      </c>
      <c r="B8" s="11" t="s">
        <v>174</v>
      </c>
      <c r="C8" s="11" t="s">
        <v>175</v>
      </c>
      <c r="D8" s="11" t="s">
        <v>176</v>
      </c>
      <c r="E8" s="11" t="s">
        <v>27</v>
      </c>
      <c r="F8" s="11" t="s">
        <v>143</v>
      </c>
      <c r="G8" s="11" t="s">
        <v>177</v>
      </c>
      <c r="H8" s="11" t="s">
        <v>178</v>
      </c>
      <c r="I8" s="11" t="s">
        <v>179</v>
      </c>
      <c r="J8" s="11" t="s">
        <v>180</v>
      </c>
      <c r="K8" s="13">
        <v>45977</v>
      </c>
      <c r="L8" s="11" t="s">
        <v>139</v>
      </c>
      <c r="M8" s="11" t="s">
        <v>34</v>
      </c>
    </row>
    <row r="9" spans="1:13" ht="43.5" customHeight="1" x14ac:dyDescent="0.35">
      <c r="A9" s="11" t="s">
        <v>129</v>
      </c>
      <c r="B9" s="11" t="s">
        <v>181</v>
      </c>
      <c r="C9" s="11" t="s">
        <v>182</v>
      </c>
      <c r="D9" s="11" t="s">
        <v>183</v>
      </c>
      <c r="E9" s="11" t="s">
        <v>27</v>
      </c>
      <c r="F9" s="11" t="s">
        <v>144</v>
      </c>
      <c r="G9" s="11" t="s">
        <v>7</v>
      </c>
      <c r="H9" s="11" t="s">
        <v>184</v>
      </c>
      <c r="I9" s="11" t="s">
        <v>185</v>
      </c>
      <c r="J9" s="11" t="s">
        <v>186</v>
      </c>
      <c r="K9" s="13">
        <v>45978</v>
      </c>
      <c r="L9" s="11" t="s">
        <v>139</v>
      </c>
      <c r="M9" s="11" t="s">
        <v>85</v>
      </c>
    </row>
    <row r="10" spans="1:13" ht="43.5" customHeight="1" x14ac:dyDescent="0.35">
      <c r="A10" s="11" t="s">
        <v>130</v>
      </c>
      <c r="B10" s="11" t="s">
        <v>187</v>
      </c>
      <c r="C10" s="11" t="s">
        <v>188</v>
      </c>
      <c r="D10" s="11" t="s">
        <v>189</v>
      </c>
      <c r="E10" s="11" t="s">
        <v>28</v>
      </c>
      <c r="F10" s="11" t="s">
        <v>7</v>
      </c>
      <c r="G10" s="12" t="s">
        <v>190</v>
      </c>
      <c r="H10" s="11" t="s">
        <v>191</v>
      </c>
      <c r="I10" s="11" t="s">
        <v>192</v>
      </c>
      <c r="J10" s="11" t="s">
        <v>193</v>
      </c>
      <c r="K10" s="13"/>
      <c r="L10" s="11" t="s">
        <v>139</v>
      </c>
      <c r="M10" s="11" t="s">
        <v>117</v>
      </c>
    </row>
    <row r="11" spans="1:13" ht="43.5" customHeight="1" x14ac:dyDescent="0.35">
      <c r="A11" s="11" t="s">
        <v>131</v>
      </c>
      <c r="B11" s="11" t="s">
        <v>194</v>
      </c>
      <c r="C11" s="11" t="s">
        <v>141</v>
      </c>
      <c r="D11" s="11" t="s">
        <v>195</v>
      </c>
      <c r="E11" s="11" t="s">
        <v>28</v>
      </c>
      <c r="F11" s="11" t="s">
        <v>7</v>
      </c>
      <c r="G11" s="11" t="s">
        <v>196</v>
      </c>
      <c r="H11" s="11" t="s">
        <v>146</v>
      </c>
      <c r="I11" s="11" t="s">
        <v>197</v>
      </c>
      <c r="J11" s="11" t="s">
        <v>198</v>
      </c>
      <c r="K11" s="13"/>
      <c r="L11" s="11" t="s">
        <v>139</v>
      </c>
      <c r="M11" s="11" t="s">
        <v>117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0F25-71DD-4BBC-9B61-33CCED0C99FF}">
  <dimension ref="A1:L13"/>
  <sheetViews>
    <sheetView tabSelected="1" topLeftCell="H1" zoomScale="85" zoomScaleNormal="85" workbookViewId="0">
      <selection activeCell="K2" sqref="K2"/>
    </sheetView>
  </sheetViews>
  <sheetFormatPr defaultRowHeight="14.5" x14ac:dyDescent="0.35"/>
  <cols>
    <col min="1" max="1" width="8.54296875" customWidth="1"/>
    <col min="2" max="2" width="26" customWidth="1"/>
    <col min="3" max="3" width="63" customWidth="1"/>
    <col min="4" max="4" width="5.81640625" bestFit="1" customWidth="1"/>
    <col min="5" max="5" width="47.7265625" customWidth="1"/>
    <col min="6" max="6" width="35.7265625" customWidth="1"/>
    <col min="7" max="7" width="60.7265625" bestFit="1" customWidth="1"/>
    <col min="8" max="8" width="74" customWidth="1"/>
    <col min="9" max="9" width="53.36328125" customWidth="1"/>
    <col min="10" max="10" width="14.7265625" customWidth="1"/>
    <col min="11" max="11" width="32.26953125" customWidth="1"/>
    <col min="12" max="12" width="20.54296875" customWidth="1"/>
  </cols>
  <sheetData>
    <row r="1" spans="1:12" x14ac:dyDescent="0.35">
      <c r="A1" s="6" t="s">
        <v>0</v>
      </c>
      <c r="B1" s="6" t="s">
        <v>16</v>
      </c>
      <c r="C1" s="6" t="s">
        <v>4</v>
      </c>
      <c r="D1" s="6" t="s">
        <v>12</v>
      </c>
      <c r="E1" s="6" t="s">
        <v>2</v>
      </c>
      <c r="F1" s="6" t="s">
        <v>8</v>
      </c>
      <c r="G1" s="6" t="s">
        <v>18</v>
      </c>
      <c r="H1" s="6" t="s">
        <v>10</v>
      </c>
      <c r="I1" s="6" t="s">
        <v>14</v>
      </c>
      <c r="J1" s="6" t="s">
        <v>11</v>
      </c>
      <c r="K1" s="6" t="s">
        <v>13</v>
      </c>
      <c r="L1" s="6" t="s">
        <v>5</v>
      </c>
    </row>
    <row r="2" spans="1:12" ht="86" customHeight="1" x14ac:dyDescent="0.35">
      <c r="A2" s="7" t="s">
        <v>15</v>
      </c>
      <c r="B2" s="7" t="s">
        <v>29</v>
      </c>
      <c r="C2" s="7" t="s">
        <v>30</v>
      </c>
      <c r="D2" s="7" t="s">
        <v>27</v>
      </c>
      <c r="E2" s="7" t="s">
        <v>7</v>
      </c>
      <c r="F2" s="7" t="s">
        <v>64</v>
      </c>
      <c r="G2" s="7" t="s">
        <v>53</v>
      </c>
      <c r="H2" s="7" t="s">
        <v>54</v>
      </c>
      <c r="I2" s="7" t="s">
        <v>33</v>
      </c>
      <c r="J2" s="8" t="s">
        <v>31</v>
      </c>
      <c r="K2" s="7" t="s">
        <v>199</v>
      </c>
      <c r="L2" s="7" t="s">
        <v>35</v>
      </c>
    </row>
    <row r="3" spans="1:12" ht="85.5" customHeight="1" x14ac:dyDescent="0.35">
      <c r="A3" s="7" t="s">
        <v>32</v>
      </c>
      <c r="B3" s="7" t="s">
        <v>29</v>
      </c>
      <c r="C3" s="10" t="s">
        <v>55</v>
      </c>
      <c r="D3" s="7" t="s">
        <v>27</v>
      </c>
      <c r="E3" s="7" t="s">
        <v>7</v>
      </c>
      <c r="F3" s="7" t="s">
        <v>65</v>
      </c>
      <c r="G3" s="7" t="s">
        <v>56</v>
      </c>
      <c r="H3" s="7" t="s">
        <v>57</v>
      </c>
      <c r="I3" s="7" t="s">
        <v>58</v>
      </c>
      <c r="J3" s="8" t="s">
        <v>31</v>
      </c>
      <c r="K3" s="7" t="s">
        <v>199</v>
      </c>
      <c r="L3" s="7" t="s">
        <v>35</v>
      </c>
    </row>
    <row r="4" spans="1:12" ht="86" customHeight="1" x14ac:dyDescent="0.35">
      <c r="A4" s="7" t="s">
        <v>36</v>
      </c>
      <c r="B4" s="7" t="s">
        <v>17</v>
      </c>
      <c r="C4" s="7" t="s">
        <v>59</v>
      </c>
      <c r="D4" s="7" t="s">
        <v>27</v>
      </c>
      <c r="E4" s="7" t="s">
        <v>60</v>
      </c>
      <c r="F4" s="7" t="s">
        <v>66</v>
      </c>
      <c r="G4" s="7" t="s">
        <v>61</v>
      </c>
      <c r="H4" s="7" t="s">
        <v>62</v>
      </c>
      <c r="I4" s="7" t="s">
        <v>63</v>
      </c>
      <c r="J4" s="8" t="s">
        <v>31</v>
      </c>
      <c r="K4" s="7" t="s">
        <v>199</v>
      </c>
      <c r="L4" s="7" t="s">
        <v>34</v>
      </c>
    </row>
    <row r="5" spans="1:12" ht="75.5" customHeight="1" x14ac:dyDescent="0.35">
      <c r="A5" s="7" t="s">
        <v>37</v>
      </c>
      <c r="B5" s="7" t="s">
        <v>46</v>
      </c>
      <c r="C5" s="7" t="s">
        <v>67</v>
      </c>
      <c r="D5" s="7" t="s">
        <v>27</v>
      </c>
      <c r="E5" s="7" t="s">
        <v>68</v>
      </c>
      <c r="F5" s="7" t="s">
        <v>69</v>
      </c>
      <c r="G5" s="7" t="s">
        <v>70</v>
      </c>
      <c r="H5" s="7" t="s">
        <v>71</v>
      </c>
      <c r="I5" s="7" t="s">
        <v>72</v>
      </c>
      <c r="J5" s="8" t="s">
        <v>31</v>
      </c>
      <c r="K5" s="7" t="s">
        <v>199</v>
      </c>
      <c r="L5" s="7" t="s">
        <v>19</v>
      </c>
    </row>
    <row r="6" spans="1:12" ht="75" customHeight="1" x14ac:dyDescent="0.35">
      <c r="A6" s="7" t="s">
        <v>38</v>
      </c>
      <c r="B6" s="7" t="s">
        <v>46</v>
      </c>
      <c r="C6" s="7" t="s">
        <v>73</v>
      </c>
      <c r="D6" s="7" t="s">
        <v>27</v>
      </c>
      <c r="E6" s="7" t="s">
        <v>74</v>
      </c>
      <c r="F6" s="7" t="s">
        <v>75</v>
      </c>
      <c r="G6" s="7" t="s">
        <v>76</v>
      </c>
      <c r="H6" s="7" t="s">
        <v>77</v>
      </c>
      <c r="I6" s="7" t="s">
        <v>78</v>
      </c>
      <c r="J6" s="8" t="s">
        <v>31</v>
      </c>
      <c r="K6" s="7" t="s">
        <v>199</v>
      </c>
      <c r="L6" s="7" t="s">
        <v>34</v>
      </c>
    </row>
    <row r="7" spans="1:12" ht="75.5" customHeight="1" x14ac:dyDescent="0.35">
      <c r="A7" s="7" t="s">
        <v>39</v>
      </c>
      <c r="B7" s="7" t="s">
        <v>47</v>
      </c>
      <c r="C7" s="7" t="s">
        <v>79</v>
      </c>
      <c r="D7" s="7" t="s">
        <v>27</v>
      </c>
      <c r="E7" s="7" t="s">
        <v>80</v>
      </c>
      <c r="F7" s="7" t="s">
        <v>81</v>
      </c>
      <c r="G7" s="7" t="s">
        <v>82</v>
      </c>
      <c r="H7" s="7" t="s">
        <v>83</v>
      </c>
      <c r="I7" s="7" t="s">
        <v>84</v>
      </c>
      <c r="J7" s="8" t="s">
        <v>31</v>
      </c>
      <c r="K7" s="7" t="s">
        <v>199</v>
      </c>
      <c r="L7" s="7" t="s">
        <v>85</v>
      </c>
    </row>
    <row r="8" spans="1:12" ht="79.5" customHeight="1" x14ac:dyDescent="0.35">
      <c r="A8" s="7" t="s">
        <v>40</v>
      </c>
      <c r="B8" s="7" t="s">
        <v>48</v>
      </c>
      <c r="C8" s="7" t="s">
        <v>86</v>
      </c>
      <c r="D8" s="7" t="s">
        <v>27</v>
      </c>
      <c r="E8" s="7" t="s">
        <v>87</v>
      </c>
      <c r="F8" s="7" t="s">
        <v>88</v>
      </c>
      <c r="G8" s="7" t="s">
        <v>89</v>
      </c>
      <c r="H8" s="7" t="s">
        <v>90</v>
      </c>
      <c r="I8" s="7" t="s">
        <v>91</v>
      </c>
      <c r="J8" s="8" t="s">
        <v>31</v>
      </c>
      <c r="K8" s="7" t="s">
        <v>199</v>
      </c>
      <c r="L8" s="7" t="s">
        <v>19</v>
      </c>
    </row>
    <row r="9" spans="1:12" ht="79" customHeight="1" x14ac:dyDescent="0.35">
      <c r="A9" s="7" t="s">
        <v>41</v>
      </c>
      <c r="B9" s="7" t="s">
        <v>92</v>
      </c>
      <c r="C9" s="7" t="s">
        <v>93</v>
      </c>
      <c r="D9" s="7" t="s">
        <v>27</v>
      </c>
      <c r="E9" s="7" t="s">
        <v>94</v>
      </c>
      <c r="F9" s="7" t="s">
        <v>95</v>
      </c>
      <c r="G9" s="7" t="s">
        <v>96</v>
      </c>
      <c r="H9" s="7" t="s">
        <v>97</v>
      </c>
      <c r="I9" s="7" t="s">
        <v>98</v>
      </c>
      <c r="J9" s="8" t="s">
        <v>31</v>
      </c>
      <c r="K9" s="7" t="s">
        <v>199</v>
      </c>
      <c r="L9" s="7" t="s">
        <v>19</v>
      </c>
    </row>
    <row r="10" spans="1:12" ht="74.5" customHeight="1" x14ac:dyDescent="0.35">
      <c r="A10" s="7" t="s">
        <v>42</v>
      </c>
      <c r="B10" s="7" t="s">
        <v>49</v>
      </c>
      <c r="C10" s="7" t="s">
        <v>99</v>
      </c>
      <c r="D10" s="7" t="s">
        <v>27</v>
      </c>
      <c r="E10" s="7" t="s">
        <v>100</v>
      </c>
      <c r="F10" s="7" t="s">
        <v>101</v>
      </c>
      <c r="G10" s="7" t="s">
        <v>102</v>
      </c>
      <c r="H10" s="7" t="s">
        <v>103</v>
      </c>
      <c r="I10" s="7" t="s">
        <v>104</v>
      </c>
      <c r="J10" s="8" t="s">
        <v>31</v>
      </c>
      <c r="K10" s="7" t="s">
        <v>199</v>
      </c>
      <c r="L10" s="7" t="s">
        <v>85</v>
      </c>
    </row>
    <row r="11" spans="1:12" ht="72" customHeight="1" x14ac:dyDescent="0.35">
      <c r="A11" s="7" t="s">
        <v>43</v>
      </c>
      <c r="B11" s="7" t="s">
        <v>50</v>
      </c>
      <c r="C11" s="7" t="s">
        <v>105</v>
      </c>
      <c r="D11" s="7" t="s">
        <v>27</v>
      </c>
      <c r="E11" s="7" t="s">
        <v>106</v>
      </c>
      <c r="F11" s="7" t="s">
        <v>107</v>
      </c>
      <c r="G11" s="7" t="s">
        <v>108</v>
      </c>
      <c r="H11" s="7" t="s">
        <v>109</v>
      </c>
      <c r="I11" s="9" t="s">
        <v>110</v>
      </c>
      <c r="J11" s="8" t="s">
        <v>31</v>
      </c>
      <c r="K11" s="7" t="s">
        <v>199</v>
      </c>
      <c r="L11" s="7" t="s">
        <v>19</v>
      </c>
    </row>
    <row r="12" spans="1:12" ht="76" customHeight="1" x14ac:dyDescent="0.35">
      <c r="A12" s="7" t="s">
        <v>44</v>
      </c>
      <c r="B12" s="7" t="s">
        <v>51</v>
      </c>
      <c r="C12" s="7" t="s">
        <v>111</v>
      </c>
      <c r="D12" s="7" t="s">
        <v>28</v>
      </c>
      <c r="E12" s="7" t="s">
        <v>112</v>
      </c>
      <c r="F12" s="7" t="s">
        <v>113</v>
      </c>
      <c r="G12" s="7" t="s">
        <v>114</v>
      </c>
      <c r="H12" s="7" t="s">
        <v>115</v>
      </c>
      <c r="I12" s="7" t="s">
        <v>116</v>
      </c>
      <c r="J12" s="8"/>
      <c r="K12" s="7" t="s">
        <v>199</v>
      </c>
      <c r="L12" s="7" t="s">
        <v>117</v>
      </c>
    </row>
    <row r="13" spans="1:12" ht="74" customHeight="1" x14ac:dyDescent="0.35">
      <c r="A13" s="7" t="s">
        <v>45</v>
      </c>
      <c r="B13" s="7" t="s">
        <v>52</v>
      </c>
      <c r="C13" s="7" t="s">
        <v>118</v>
      </c>
      <c r="D13" s="7" t="s">
        <v>27</v>
      </c>
      <c r="E13" s="7" t="s">
        <v>112</v>
      </c>
      <c r="F13" s="7" t="s">
        <v>119</v>
      </c>
      <c r="G13" s="7" t="s">
        <v>120</v>
      </c>
      <c r="H13" s="7" t="s">
        <v>121</v>
      </c>
      <c r="I13" s="7" t="s">
        <v>122</v>
      </c>
      <c r="J13" s="8"/>
      <c r="K13" s="7" t="s">
        <v>199</v>
      </c>
      <c r="L13" s="7" t="s">
        <v>85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RESULTADOS</vt:lpstr>
      <vt:lpstr>UNITARIOS</vt:lpstr>
      <vt:lpstr>FUNCIONAIS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MICARONI DO ROSARIO</dc:creator>
  <cp:lastModifiedBy>SENAI Zerbini</cp:lastModifiedBy>
  <dcterms:created xsi:type="dcterms:W3CDTF">2025-11-10T11:56:05Z</dcterms:created>
  <dcterms:modified xsi:type="dcterms:W3CDTF">2026-10-15T10:42:59Z</dcterms:modified>
</cp:coreProperties>
</file>